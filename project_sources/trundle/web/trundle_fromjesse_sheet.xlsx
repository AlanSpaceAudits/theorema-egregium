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<sst xmlns="http://schemas.openxmlformats.org/spreadsheetml/2006/main" count="19" uniqueCount="14">
  <si>
    <t>Meters per
Arcminute</t>
  </si>
  <si>
    <t>Trundle Wheel Westbound</t>
  </si>
  <si>
    <t>meters</t>
  </si>
  <si>
    <t>Trundle Wheel Eastbound</t>
  </si>
  <si>
    <t>Trundle Wheel Average</t>
  </si>
  <si>
    <t>Total Station Distance</t>
  </si>
  <si>
    <t>Google Earth Distance</t>
  </si>
  <si>
    <t>Longitude at West End:</t>
  </si>
  <si>
    <t>degrees</t>
  </si>
  <si>
    <t>Longitude at East End:</t>
  </si>
  <si>
    <t>East-West distance:</t>
  </si>
  <si>
    <t>Arc minutes</t>
  </si>
  <si>
    <t>KML file for google earth showing line and averaged GPS endpoints:</t>
  </si>
  <si>
    <t>https://drive.google.com/drive/folders/1PWnjdBXzMEG6cEyzBqxsNgWxOVvLZjX9?usp=drive_link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</si>
</sst>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079"/>
        <bgColor rgb="FFFFF07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1" xfId="0" applyAlignment="1" applyFont="1" applyNumberFormat="1">
      <alignment horizontal="center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1" xfId="0" applyAlignment="1" applyFill="1" applyFont="1" applyNumberFormat="1">
      <alignment horizontal="center"/>
    </xf>
    <xf borderId="0" fillId="3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WnjdBXzMEG6cEyzBqxsNgWxOVvLZjX9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25"/>
    <col customWidth="1" min="3" max="3" width="12.63"/>
    <col customWidth="1" min="4" max="4" width="9.5"/>
  </cols>
  <sheetData>
    <row r="1">
      <c r="D1" s="1" t="s">
        <v>0</v>
      </c>
    </row>
    <row r="2">
      <c r="A2" s="2" t="s">
        <v>1</v>
      </c>
      <c r="B2" s="2">
        <v>1252.9</v>
      </c>
      <c r="C2" s="2" t="s">
        <v>2</v>
      </c>
      <c r="D2" s="3">
        <f t="shared" ref="D2:D6" si="1">B2/$B$11</f>
        <v>-1248.530144</v>
      </c>
    </row>
    <row r="3">
      <c r="A3" s="2" t="s">
        <v>3</v>
      </c>
      <c r="B3" s="2">
        <v>1249.7</v>
      </c>
      <c r="C3" s="2" t="s">
        <v>2</v>
      </c>
      <c r="D3" s="3">
        <f t="shared" si="1"/>
        <v>-1245.341305</v>
      </c>
    </row>
    <row r="4">
      <c r="A4" s="4" t="s">
        <v>4</v>
      </c>
      <c r="B4" s="5">
        <f>AVERAGE(B2:B3)</f>
        <v>1251.3</v>
      </c>
      <c r="C4" s="6" t="s">
        <v>2</v>
      </c>
      <c r="D4" s="7">
        <f t="shared" si="1"/>
        <v>-1246.935725</v>
      </c>
    </row>
    <row r="5">
      <c r="A5" s="4" t="s">
        <v>5</v>
      </c>
      <c r="B5" s="6">
        <v>1246.1</v>
      </c>
      <c r="C5" s="6" t="s">
        <v>2</v>
      </c>
      <c r="D5" s="7">
        <f t="shared" si="1"/>
        <v>-1241.753861</v>
      </c>
    </row>
    <row r="6">
      <c r="A6" s="4" t="s">
        <v>6</v>
      </c>
      <c r="B6" s="6">
        <v>1245.7</v>
      </c>
      <c r="C6" s="6" t="s">
        <v>2</v>
      </c>
      <c r="D6" s="7">
        <f t="shared" si="1"/>
        <v>-1241.355257</v>
      </c>
    </row>
    <row r="7">
      <c r="D7" s="3"/>
    </row>
    <row r="8">
      <c r="A8" s="6" t="s">
        <v>7</v>
      </c>
      <c r="B8" s="6">
        <v>-123.248106</v>
      </c>
      <c r="C8" s="6" t="s">
        <v>8</v>
      </c>
      <c r="D8" s="3"/>
    </row>
    <row r="9">
      <c r="A9" s="6" t="s">
        <v>9</v>
      </c>
      <c r="B9" s="6">
        <v>-123.231381</v>
      </c>
      <c r="C9" s="6" t="s">
        <v>8</v>
      </c>
      <c r="D9" s="3"/>
    </row>
    <row r="10">
      <c r="D10" s="3"/>
    </row>
    <row r="11">
      <c r="A11" s="4" t="s">
        <v>10</v>
      </c>
      <c r="B11" s="8">
        <f>(B8-B9)*60</f>
        <v>-1.0035</v>
      </c>
      <c r="C11" s="4" t="s">
        <v>11</v>
      </c>
      <c r="D11" s="3"/>
    </row>
    <row r="12">
      <c r="D12" s="3"/>
    </row>
    <row r="13">
      <c r="D13" s="3"/>
    </row>
    <row r="14">
      <c r="A14" s="6" t="s">
        <v>12</v>
      </c>
      <c r="D14" s="3"/>
    </row>
    <row r="15">
      <c r="A15" s="9" t="s">
        <v>13</v>
      </c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hyperlinks>
    <hyperlink r:id="rId1" ref="A15"/>
  </hyperlinks>
  <drawing r:id="rId2"/>
</worksheet>
</file>